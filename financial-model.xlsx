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05EA8"/>
      <sz val="16"/>
    </font>
    <font>
      <name val="Arial"/>
      <b val="1"/>
      <color rgb="00005EA8"/>
    </font>
    <font>
      <name val="Arial"/>
      <b val="1"/>
      <color rgb="001B2734"/>
    </font>
    <font>
      <name val="Arial"/>
      <color rgb="000000FF"/>
    </font>
    <font>
      <name val="Arial"/>
      <b val="1"/>
      <color rgb="00005EA8"/>
      <sz val="13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2" borderId="0" pivotButton="0" quotePrefix="0" xfId="0"/>
    <xf numFmtId="3" fontId="4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Huggies Project Financial Model (Demo)</t>
        </is>
      </c>
    </row>
    <row r="3">
      <c r="A3" s="2" t="inlineStr">
        <is>
          <t>Years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2027</t>
        </is>
      </c>
    </row>
    <row r="5">
      <c r="A5" s="4" t="inlineStr">
        <is>
          <t>Gross Margin %</t>
        </is>
      </c>
      <c r="B5" s="5" t="n">
        <v>0.55</v>
      </c>
    </row>
    <row r="6">
      <c r="A6" s="4" t="inlineStr">
        <is>
          <t>Tax rate %</t>
        </is>
      </c>
      <c r="B6" s="5" t="n">
        <v>0.2</v>
      </c>
    </row>
    <row r="7">
      <c r="A7" s="4" t="inlineStr">
        <is>
          <t>Working capital % of Revenue</t>
        </is>
      </c>
      <c r="B7" s="5" t="n">
        <v>0.1</v>
      </c>
    </row>
    <row r="9">
      <c r="A9" s="4" t="inlineStr">
        <is>
          <t>One-time Capex (2025)</t>
        </is>
      </c>
      <c r="B9" s="6" t="n">
        <v>100000</v>
      </c>
      <c r="C9" s="6" t="n">
        <v>0</v>
      </c>
      <c r="D9" s="6" t="n">
        <v>0</v>
      </c>
    </row>
    <row r="11">
      <c r="A11" s="1" t="inlineStr">
        <is>
          <t>Fixed OPEX (overall)</t>
        </is>
      </c>
    </row>
    <row r="12">
      <c r="A12" s="4" t="inlineStr">
        <is>
          <t>Content &amp; Creative Production</t>
        </is>
      </c>
      <c r="B12" s="6" t="n">
        <v>50000</v>
      </c>
      <c r="C12" s="6" t="n">
        <v>50000</v>
      </c>
      <c r="D12" s="6" t="n">
        <v>50000</v>
      </c>
    </row>
    <row r="13">
      <c r="A13" s="4" t="inlineStr">
        <is>
          <t>Tech &amp; Operations (hosting/dev/qa)</t>
        </is>
      </c>
      <c r="B13" s="6" t="n">
        <v>30000</v>
      </c>
      <c r="C13" s="6" t="n">
        <v>30000</v>
      </c>
      <c r="D13" s="6" t="n">
        <v>30000</v>
      </c>
    </row>
    <row r="14">
      <c r="A14" s="4" t="inlineStr">
        <is>
          <t>CRM &amp; Customer Service</t>
        </is>
      </c>
      <c r="B14" s="6" t="n">
        <v>20000</v>
      </c>
      <c r="C14" s="6" t="n">
        <v>20000</v>
      </c>
      <c r="D14" s="6" t="n">
        <v>20000</v>
      </c>
    </row>
    <row r="16">
      <c r="A16" s="4" t="inlineStr">
        <is>
          <t>Note:</t>
        </is>
      </c>
    </row>
    <row r="17">
      <c r="A17" s="7" t="inlineStr">
        <is>
          <t>All yellow/blue cells are inputs. Model outputs are calculated automatically.</t>
        </is>
      </c>
    </row>
    <row r="18">
      <c r="A18" t="inlineStr">
        <is>
          <t>Units: all monetary values are in RUB (change in these cells if needed).</t>
        </is>
      </c>
    </row>
  </sheetData>
  <mergeCells count="7">
    <mergeCell ref="A1:D1"/>
    <mergeCell ref="A17:D17"/>
    <mergeCell ref="A18:D18"/>
    <mergeCell ref="B5:D5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Segment Drivers &amp; Unit Economics (Inputs + Computed)</t>
        </is>
      </c>
    </row>
    <row r="2"/>
    <row r="3">
      <c r="A3" s="2" t="inlineStr">
        <is>
          <t>Metric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2027</t>
        </is>
      </c>
    </row>
    <row r="4"/>
    <row r="5">
      <c r="A5" s="8" t="inlineStr">
        <is>
          <t>Newborn (0-3m)</t>
        </is>
      </c>
    </row>
    <row r="6">
      <c r="A6" s="7" t="inlineStr">
        <is>
          <t>Impressions (count)</t>
        </is>
      </c>
      <c r="B6" s="9" t="n">
        <v>5000000</v>
      </c>
      <c r="C6" s="9" t="n">
        <v>5000000</v>
      </c>
      <c r="D6" s="9" t="n">
        <v>5000000</v>
      </c>
    </row>
    <row r="7">
      <c r="A7" s="7" t="inlineStr">
        <is>
          <t>CTR</t>
        </is>
      </c>
      <c r="B7" s="10" t="n">
        <v>0.03</v>
      </c>
      <c r="C7" s="10" t="n">
        <v>0.03</v>
      </c>
      <c r="D7" s="10" t="n">
        <v>0.03</v>
      </c>
    </row>
    <row r="8">
      <c r="A8" s="7" t="inlineStr">
        <is>
          <t>Add-to-cart rate</t>
        </is>
      </c>
      <c r="B8" s="10" t="n">
        <v>0.12</v>
      </c>
      <c r="C8" s="10" t="n">
        <v>0.12</v>
      </c>
      <c r="D8" s="10" t="n">
        <v>0.12</v>
      </c>
    </row>
    <row r="9">
      <c r="A9" s="7" t="inlineStr">
        <is>
          <t>Trials (computed)</t>
        </is>
      </c>
      <c r="B9" s="11">
        <f>B6*B7*B8</f>
        <v/>
      </c>
      <c r="C9" s="11">
        <f>C6*C7*C8</f>
        <v/>
      </c>
      <c r="D9" s="11">
        <f>D6*D7*D8</f>
        <v/>
      </c>
    </row>
    <row r="10">
      <c r="A10" s="7" t="inlineStr">
        <is>
          <t>Revenue per trial (RUB)</t>
        </is>
      </c>
      <c r="B10" s="9" t="n">
        <v>900</v>
      </c>
      <c r="C10" s="9" t="n">
        <v>900</v>
      </c>
      <c r="D10" s="9" t="n">
        <v>900</v>
      </c>
    </row>
    <row r="11">
      <c r="A11" s="7" t="inlineStr">
        <is>
          <t>Repeat purchase rate @30d</t>
        </is>
      </c>
      <c r="B11" s="10" t="n">
        <v>0.08</v>
      </c>
      <c r="C11" s="10" t="n">
        <v>0.08</v>
      </c>
      <c r="D11" s="10" t="n">
        <v>0.08</v>
      </c>
    </row>
    <row r="12">
      <c r="A12" s="7" t="inlineStr">
        <is>
          <t>Repeat purchase rate @60d</t>
        </is>
      </c>
      <c r="B12" s="10" t="n">
        <v>0.06</v>
      </c>
      <c r="C12" s="10" t="n">
        <v>0.06</v>
      </c>
      <c r="D12" s="10" t="n">
        <v>0.06</v>
      </c>
    </row>
    <row r="13">
      <c r="A13" s="7" t="inlineStr">
        <is>
          <t>Total Revenue (RUB)</t>
        </is>
      </c>
      <c r="B13" s="11">
        <f>B9*B10*(1+B11+B12)</f>
        <v/>
      </c>
      <c r="C13" s="11">
        <f>C9*C10*(1+C11+C12)</f>
        <v/>
      </c>
      <c r="D13" s="11">
        <f>D9*D10*(1+D11+D12)</f>
        <v/>
      </c>
    </row>
    <row r="14">
      <c r="A14" s="7" t="inlineStr">
        <is>
          <t>Gross Margin (ref)</t>
        </is>
      </c>
      <c r="B14" s="12">
        <f>Inputs!$B$5</f>
        <v/>
      </c>
      <c r="C14" s="12">
        <f>Inputs!$B$5</f>
        <v/>
      </c>
      <c r="D14" s="12">
        <f>Inputs!$B$5</f>
        <v/>
      </c>
    </row>
    <row r="15">
      <c r="A15" s="7" t="inlineStr">
        <is>
          <t>COGS (RUB)</t>
        </is>
      </c>
      <c r="B15" s="11">
        <f>B13*(1-B14)</f>
        <v/>
      </c>
      <c r="C15" s="11">
        <f>C13*(1-C14)</f>
        <v/>
      </c>
      <c r="D15" s="11">
        <f>D13*(1-D14)</f>
        <v/>
      </c>
    </row>
    <row r="16">
      <c r="A16" s="7" t="inlineStr">
        <is>
          <t>CAC per trial (RUB)</t>
        </is>
      </c>
      <c r="B16" s="9" t="n">
        <v>120</v>
      </c>
      <c r="C16" s="9" t="n">
        <v>120</v>
      </c>
      <c r="D16" s="9" t="n">
        <v>120</v>
      </c>
    </row>
    <row r="17">
      <c r="A17" s="7" t="inlineStr">
        <is>
          <t>Marketing cost (RUB)</t>
        </is>
      </c>
      <c r="B17" s="11">
        <f>B9*B16</f>
        <v/>
      </c>
      <c r="C17" s="11">
        <f>C9*C16</f>
        <v/>
      </c>
      <c r="D17" s="11">
        <f>D9*D16</f>
        <v/>
      </c>
    </row>
    <row r="18">
      <c r="A18" s="7" t="inlineStr">
        <is>
          <t>Incentives per trial (RUB)</t>
        </is>
      </c>
      <c r="B18" s="9" t="n">
        <v>25</v>
      </c>
      <c r="C18" s="9" t="n">
        <v>25</v>
      </c>
      <c r="D18" s="9" t="n">
        <v>25</v>
      </c>
    </row>
    <row r="19">
      <c r="A19" s="7" t="inlineStr">
        <is>
          <t>Incentives cost (RUB)</t>
        </is>
      </c>
      <c r="B19" s="11">
        <f>B9*B18</f>
        <v/>
      </c>
      <c r="C19" s="11">
        <f>C9*C18</f>
        <v/>
      </c>
      <c r="D19" s="11">
        <f>D9*D18</f>
        <v/>
      </c>
    </row>
    <row r="20">
      <c r="A20" s="7" t="inlineStr">
        <is>
          <t>Segment EBIT (RUB)</t>
        </is>
      </c>
      <c r="B20" s="11">
        <f>B13-B15-B17-B19</f>
        <v/>
      </c>
      <c r="C20" s="11">
        <f>C13-C15-C17-C19</f>
        <v/>
      </c>
      <c r="D20" s="11">
        <f>D13-D15-D17-D19</f>
        <v/>
      </c>
    </row>
    <row r="21"/>
    <row r="22">
      <c r="A22" s="8" t="inlineStr">
        <is>
          <t>Active Babies (6-18m)</t>
        </is>
      </c>
    </row>
    <row r="23">
      <c r="A23" s="7" t="inlineStr">
        <is>
          <t>Impressions (count)</t>
        </is>
      </c>
      <c r="B23" s="9" t="n">
        <v>5000000</v>
      </c>
      <c r="C23" s="9" t="n">
        <v>5000000</v>
      </c>
      <c r="D23" s="9" t="n">
        <v>5000000</v>
      </c>
    </row>
    <row r="24">
      <c r="A24" s="7" t="inlineStr">
        <is>
          <t>CTR</t>
        </is>
      </c>
      <c r="B24" s="10" t="n">
        <v>0.03</v>
      </c>
      <c r="C24" s="10" t="n">
        <v>0.03</v>
      </c>
      <c r="D24" s="10" t="n">
        <v>0.03</v>
      </c>
    </row>
    <row r="25">
      <c r="A25" s="7" t="inlineStr">
        <is>
          <t>Add-to-cart rate</t>
        </is>
      </c>
      <c r="B25" s="10" t="n">
        <v>0.12</v>
      </c>
      <c r="C25" s="10" t="n">
        <v>0.12</v>
      </c>
      <c r="D25" s="10" t="n">
        <v>0.12</v>
      </c>
    </row>
    <row r="26">
      <c r="A26" s="7" t="inlineStr">
        <is>
          <t>Trials (computed)</t>
        </is>
      </c>
      <c r="B26" s="11">
        <f>B23*B24*B25</f>
        <v/>
      </c>
      <c r="C26" s="11">
        <f>C23*C24*C25</f>
        <v/>
      </c>
      <c r="D26" s="11">
        <f>D23*D24*D25</f>
        <v/>
      </c>
    </row>
    <row r="27">
      <c r="A27" s="7" t="inlineStr">
        <is>
          <t>Revenue per trial (RUB)</t>
        </is>
      </c>
      <c r="B27" s="9" t="n">
        <v>900</v>
      </c>
      <c r="C27" s="9" t="n">
        <v>900</v>
      </c>
      <c r="D27" s="9" t="n">
        <v>900</v>
      </c>
    </row>
    <row r="28">
      <c r="A28" s="7" t="inlineStr">
        <is>
          <t>Repeat purchase rate @30d</t>
        </is>
      </c>
      <c r="B28" s="10" t="n">
        <v>0.08</v>
      </c>
      <c r="C28" s="10" t="n">
        <v>0.08</v>
      </c>
      <c r="D28" s="10" t="n">
        <v>0.08</v>
      </c>
    </row>
    <row r="29">
      <c r="A29" s="7" t="inlineStr">
        <is>
          <t>Repeat purchase rate @60d</t>
        </is>
      </c>
      <c r="B29" s="10" t="n">
        <v>0.06</v>
      </c>
      <c r="C29" s="10" t="n">
        <v>0.06</v>
      </c>
      <c r="D29" s="10" t="n">
        <v>0.06</v>
      </c>
    </row>
    <row r="30">
      <c r="A30" s="7" t="inlineStr">
        <is>
          <t>Total Revenue (RUB)</t>
        </is>
      </c>
      <c r="B30" s="11">
        <f>B26*B27*(1+B28+B29)</f>
        <v/>
      </c>
      <c r="C30" s="11">
        <f>C26*C27*(1+C28+C29)</f>
        <v/>
      </c>
      <c r="D30" s="11">
        <f>D26*D27*(1+D28+D29)</f>
        <v/>
      </c>
    </row>
    <row r="31">
      <c r="A31" s="7" t="inlineStr">
        <is>
          <t>Gross Margin (ref)</t>
        </is>
      </c>
      <c r="B31" s="12">
        <f>Inputs!$B$5</f>
        <v/>
      </c>
      <c r="C31" s="12">
        <f>Inputs!$B$5</f>
        <v/>
      </c>
      <c r="D31" s="12">
        <f>Inputs!$B$5</f>
        <v/>
      </c>
    </row>
    <row r="32">
      <c r="A32" s="7" t="inlineStr">
        <is>
          <t>COGS (RUB)</t>
        </is>
      </c>
      <c r="B32" s="11">
        <f>B30*(1-B31)</f>
        <v/>
      </c>
      <c r="C32" s="11">
        <f>C30*(1-C31)</f>
        <v/>
      </c>
      <c r="D32" s="11">
        <f>D30*(1-D31)</f>
        <v/>
      </c>
    </row>
    <row r="33">
      <c r="A33" s="7" t="inlineStr">
        <is>
          <t>CAC per trial (RUB)</t>
        </is>
      </c>
      <c r="B33" s="9" t="n">
        <v>120</v>
      </c>
      <c r="C33" s="9" t="n">
        <v>120</v>
      </c>
      <c r="D33" s="9" t="n">
        <v>120</v>
      </c>
    </row>
    <row r="34">
      <c r="A34" s="7" t="inlineStr">
        <is>
          <t>Marketing cost (RUB)</t>
        </is>
      </c>
      <c r="B34" s="11">
        <f>B26*B33</f>
        <v/>
      </c>
      <c r="C34" s="11">
        <f>C26*C33</f>
        <v/>
      </c>
      <c r="D34" s="11">
        <f>D26*D33</f>
        <v/>
      </c>
    </row>
    <row r="35">
      <c r="A35" s="7" t="inlineStr">
        <is>
          <t>Incentives per trial (RUB)</t>
        </is>
      </c>
      <c r="B35" s="9" t="n">
        <v>25</v>
      </c>
      <c r="C35" s="9" t="n">
        <v>25</v>
      </c>
      <c r="D35" s="9" t="n">
        <v>25</v>
      </c>
    </row>
    <row r="36">
      <c r="A36" s="7" t="inlineStr">
        <is>
          <t>Incentives cost (RUB)</t>
        </is>
      </c>
      <c r="B36" s="11">
        <f>B26*B35</f>
        <v/>
      </c>
      <c r="C36" s="11">
        <f>C26*C35</f>
        <v/>
      </c>
      <c r="D36" s="11">
        <f>D26*D35</f>
        <v/>
      </c>
    </row>
    <row r="37">
      <c r="A37" s="7" t="inlineStr">
        <is>
          <t>Segment EBIT (RUB)</t>
        </is>
      </c>
      <c r="B37" s="11">
        <f>B30-B32-B34-B36</f>
        <v/>
      </c>
      <c r="C37" s="11">
        <f>C30-C32-C34-C36</f>
        <v/>
      </c>
      <c r="D37" s="11">
        <f>D30-D32-D34-D36</f>
        <v/>
      </c>
    </row>
    <row r="38"/>
    <row r="39">
      <c r="A39" s="8" t="inlineStr">
        <is>
          <t>Night Protection (0-3m+)</t>
        </is>
      </c>
    </row>
    <row r="40">
      <c r="A40" s="7" t="inlineStr">
        <is>
          <t>Impressions (count)</t>
        </is>
      </c>
      <c r="B40" s="9" t="n">
        <v>5000000</v>
      </c>
      <c r="C40" s="9" t="n">
        <v>5000000</v>
      </c>
      <c r="D40" s="9" t="n">
        <v>5000000</v>
      </c>
    </row>
    <row r="41">
      <c r="A41" s="7" t="inlineStr">
        <is>
          <t>CTR</t>
        </is>
      </c>
      <c r="B41" s="10" t="n">
        <v>0.03</v>
      </c>
      <c r="C41" s="10" t="n">
        <v>0.03</v>
      </c>
      <c r="D41" s="10" t="n">
        <v>0.03</v>
      </c>
    </row>
    <row r="42">
      <c r="A42" s="7" t="inlineStr">
        <is>
          <t>Add-to-cart rate</t>
        </is>
      </c>
      <c r="B42" s="10" t="n">
        <v>0.12</v>
      </c>
      <c r="C42" s="10" t="n">
        <v>0.12</v>
      </c>
      <c r="D42" s="10" t="n">
        <v>0.12</v>
      </c>
    </row>
    <row r="43">
      <c r="A43" s="7" t="inlineStr">
        <is>
          <t>Trials (computed)</t>
        </is>
      </c>
      <c r="B43" s="11">
        <f>B40*B41*B42</f>
        <v/>
      </c>
      <c r="C43" s="11">
        <f>C40*C41*C42</f>
        <v/>
      </c>
      <c r="D43" s="11">
        <f>D40*D41*D42</f>
        <v/>
      </c>
    </row>
    <row r="44">
      <c r="A44" s="7" t="inlineStr">
        <is>
          <t>Revenue per trial (RUB)</t>
        </is>
      </c>
      <c r="B44" s="9" t="n">
        <v>900</v>
      </c>
      <c r="C44" s="9" t="n">
        <v>900</v>
      </c>
      <c r="D44" s="9" t="n">
        <v>900</v>
      </c>
    </row>
    <row r="45">
      <c r="A45" s="7" t="inlineStr">
        <is>
          <t>Repeat purchase rate @30d</t>
        </is>
      </c>
      <c r="B45" s="10" t="n">
        <v>0.08</v>
      </c>
      <c r="C45" s="10" t="n">
        <v>0.08</v>
      </c>
      <c r="D45" s="10" t="n">
        <v>0.08</v>
      </c>
    </row>
    <row r="46">
      <c r="A46" s="7" t="inlineStr">
        <is>
          <t>Repeat purchase rate @60d</t>
        </is>
      </c>
      <c r="B46" s="10" t="n">
        <v>0.06</v>
      </c>
      <c r="C46" s="10" t="n">
        <v>0.06</v>
      </c>
      <c r="D46" s="10" t="n">
        <v>0.06</v>
      </c>
    </row>
    <row r="47">
      <c r="A47" s="7" t="inlineStr">
        <is>
          <t>Total Revenue (RUB)</t>
        </is>
      </c>
      <c r="B47" s="11">
        <f>B43*B44*(1+B45+B46)</f>
        <v/>
      </c>
      <c r="C47" s="11">
        <f>C43*C44*(1+C45+C46)</f>
        <v/>
      </c>
      <c r="D47" s="11">
        <f>D43*D44*(1+D45+D46)</f>
        <v/>
      </c>
    </row>
    <row r="48">
      <c r="A48" s="7" t="inlineStr">
        <is>
          <t>Gross Margin (ref)</t>
        </is>
      </c>
      <c r="B48" s="12">
        <f>Inputs!$B$5</f>
        <v/>
      </c>
      <c r="C48" s="12">
        <f>Inputs!$B$5</f>
        <v/>
      </c>
      <c r="D48" s="12">
        <f>Inputs!$B$5</f>
        <v/>
      </c>
    </row>
    <row r="49">
      <c r="A49" s="7" t="inlineStr">
        <is>
          <t>COGS (RUB)</t>
        </is>
      </c>
      <c r="B49" s="11">
        <f>B47*(1-B48)</f>
        <v/>
      </c>
      <c r="C49" s="11">
        <f>C47*(1-C48)</f>
        <v/>
      </c>
      <c r="D49" s="11">
        <f>D47*(1-D48)</f>
        <v/>
      </c>
    </row>
    <row r="50">
      <c r="A50" s="7" t="inlineStr">
        <is>
          <t>CAC per trial (RUB)</t>
        </is>
      </c>
      <c r="B50" s="9" t="n">
        <v>120</v>
      </c>
      <c r="C50" s="9" t="n">
        <v>120</v>
      </c>
      <c r="D50" s="9" t="n">
        <v>120</v>
      </c>
    </row>
    <row r="51">
      <c r="A51" s="7" t="inlineStr">
        <is>
          <t>Marketing cost (RUB)</t>
        </is>
      </c>
      <c r="B51" s="11">
        <f>B43*B50</f>
        <v/>
      </c>
      <c r="C51" s="11">
        <f>C43*C50</f>
        <v/>
      </c>
      <c r="D51" s="11">
        <f>D43*D50</f>
        <v/>
      </c>
    </row>
    <row r="52">
      <c r="A52" s="7" t="inlineStr">
        <is>
          <t>Incentives per trial (RUB)</t>
        </is>
      </c>
      <c r="B52" s="9" t="n">
        <v>25</v>
      </c>
      <c r="C52" s="9" t="n">
        <v>25</v>
      </c>
      <c r="D52" s="9" t="n">
        <v>25</v>
      </c>
    </row>
    <row r="53">
      <c r="A53" s="7" t="inlineStr">
        <is>
          <t>Incentives cost (RUB)</t>
        </is>
      </c>
      <c r="B53" s="11">
        <f>B43*B52</f>
        <v/>
      </c>
      <c r="C53" s="11">
        <f>C43*C52</f>
        <v/>
      </c>
      <c r="D53" s="11">
        <f>D43*D52</f>
        <v/>
      </c>
    </row>
    <row r="54">
      <c r="A54" s="7" t="inlineStr">
        <is>
          <t>Segment EBIT (RUB)</t>
        </is>
      </c>
      <c r="B54" s="11">
        <f>B47-B49-B51-B53</f>
        <v/>
      </c>
      <c r="C54" s="11">
        <f>C47-C49-C51-C53</f>
        <v/>
      </c>
      <c r="D54" s="11">
        <f>D47-D49-D51-D53</f>
        <v/>
      </c>
    </row>
  </sheetData>
  <mergeCells count="4">
    <mergeCell ref="A39"/>
    <mergeCell ref="A22"/>
    <mergeCell ref="A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Totals (Aggregated P&amp;L + Unit Economics)</t>
        </is>
      </c>
    </row>
    <row r="3">
      <c r="A3" s="2" t="inlineStr">
        <is>
          <t>Metric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2027</t>
        </is>
      </c>
    </row>
    <row r="5">
      <c r="A5" s="4" t="inlineStr">
        <is>
          <t>Total Revenue</t>
        </is>
      </c>
      <c r="B5" s="13">
        <f>B13+B30+B47</f>
        <v/>
      </c>
      <c r="C5" s="13">
        <f>C13+C30+C47</f>
        <v/>
      </c>
      <c r="D5" s="13">
        <f>D13+D30+D47</f>
        <v/>
      </c>
    </row>
    <row r="6">
      <c r="A6" s="4" t="inlineStr">
        <is>
          <t>COGS</t>
        </is>
      </c>
      <c r="B6" s="13">
        <f>B15+B32+B49</f>
        <v/>
      </c>
      <c r="C6" s="13">
        <f>C15+C32+C49</f>
        <v/>
      </c>
      <c r="D6" s="13">
        <f>D15+D32+D49</f>
        <v/>
      </c>
    </row>
    <row r="7">
      <c r="A7" s="4" t="inlineStr">
        <is>
          <t>Marketing Cost</t>
        </is>
      </c>
      <c r="B7" s="13">
        <f>B17+B34+B51</f>
        <v/>
      </c>
      <c r="C7" s="13">
        <f>C17+C34+C51</f>
        <v/>
      </c>
      <c r="D7" s="13">
        <f>D17+D34+D51</f>
        <v/>
      </c>
    </row>
    <row r="8">
      <c r="A8" s="4" t="inlineStr">
        <is>
          <t>Incentives Cost</t>
        </is>
      </c>
      <c r="B8" s="13">
        <f>B19+B36+B53</f>
        <v/>
      </c>
      <c r="C8" s="13">
        <f>C19+C36+C53</f>
        <v/>
      </c>
      <c r="D8" s="13">
        <f>D19+D36+D53</f>
        <v/>
      </c>
    </row>
    <row r="9">
      <c r="A9" s="4" t="inlineStr">
        <is>
          <t>Fixed OPEX</t>
        </is>
      </c>
      <c r="B9" s="13">
        <f>Inputs!B12+Inputs!B13+Inputs!B14</f>
        <v/>
      </c>
      <c r="C9" s="13">
        <f>Inputs!C12+Inputs!C13+Inputs!C14</f>
        <v/>
      </c>
      <c r="D9" s="13">
        <f>Inputs!D12+Inputs!D13+Inputs!D14</f>
        <v/>
      </c>
    </row>
    <row r="10">
      <c r="A10" s="4" t="inlineStr">
        <is>
          <t>EBIT</t>
        </is>
      </c>
      <c r="B10" s="13">
        <f>B5-B6-B7-B8-B9</f>
        <v/>
      </c>
      <c r="C10" s="13">
        <f>C5-C6-C7-C8-C9</f>
        <v/>
      </c>
      <c r="D10" s="13">
        <f>D5-D6-D7-D8-D9</f>
        <v/>
      </c>
    </row>
    <row r="11">
      <c r="A11" s="4" t="inlineStr">
        <is>
          <t>Taxes</t>
        </is>
      </c>
      <c r="B11" s="13">
        <f>IF(B10&gt;0,B10*Inputs!$B$6,0)</f>
        <v/>
      </c>
      <c r="C11" s="13">
        <f>IF(C10&gt;0,C10*Inputs!$B$6,0)</f>
        <v/>
      </c>
      <c r="D11" s="13">
        <f>IF(D10&gt;0,D10*Inputs!$B$6,0)</f>
        <v/>
      </c>
    </row>
    <row r="12">
      <c r="A12" s="4" t="inlineStr">
        <is>
          <t>Net Income</t>
        </is>
      </c>
      <c r="B12" s="13">
        <f>B10-B11</f>
        <v/>
      </c>
      <c r="C12" s="13">
        <f>C10-C11</f>
        <v/>
      </c>
      <c r="D12" s="13">
        <f>D10-D11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Cash Flow (Simple)</t>
        </is>
      </c>
    </row>
    <row r="3">
      <c r="A3" s="2" t="inlineStr">
        <is>
          <t>Metric</t>
        </is>
      </c>
      <c r="B3" s="3" t="inlineStr">
        <is>
          <t>2025</t>
        </is>
      </c>
      <c r="C3" s="3" t="inlineStr">
        <is>
          <t>2026</t>
        </is>
      </c>
      <c r="D3" s="3" t="inlineStr">
        <is>
          <t>2027</t>
        </is>
      </c>
    </row>
    <row r="5">
      <c r="A5" s="4" t="inlineStr">
        <is>
          <t>EBIT</t>
        </is>
      </c>
      <c r="B5" s="13">
        <f>Totals!B10</f>
        <v/>
      </c>
      <c r="C5" s="13">
        <f>Totals!C10</f>
        <v/>
      </c>
      <c r="D5" s="13">
        <f>Totals!D10</f>
        <v/>
      </c>
    </row>
    <row r="6">
      <c r="A6" s="4" t="inlineStr">
        <is>
          <t>Taxes</t>
        </is>
      </c>
      <c r="B6" s="13">
        <f>Totals!B11</f>
        <v/>
      </c>
      <c r="C6" s="13">
        <f>Totals!C11</f>
        <v/>
      </c>
      <c r="D6" s="13">
        <f>Totals!D11</f>
        <v/>
      </c>
    </row>
    <row r="7">
      <c r="A7" s="4" t="inlineStr">
        <is>
          <t>Cash from Ops (CFO)</t>
        </is>
      </c>
      <c r="B7" s="13">
        <f>B5-B6</f>
        <v/>
      </c>
      <c r="C7" s="13">
        <f>C5-C6</f>
        <v/>
      </c>
      <c r="D7" s="13">
        <f>D5-D6</f>
        <v/>
      </c>
    </row>
    <row r="8">
      <c r="A8" s="4" t="inlineStr">
        <is>
          <t>Capex</t>
        </is>
      </c>
      <c r="B8" s="13">
        <f>Inputs!B9</f>
        <v/>
      </c>
      <c r="C8" s="13">
        <f>Inputs!C9</f>
        <v/>
      </c>
      <c r="D8" s="13">
        <f>Inputs!D9</f>
        <v/>
      </c>
    </row>
    <row r="9">
      <c r="A9" s="4" t="inlineStr">
        <is>
          <t>Working Capital Change</t>
        </is>
      </c>
      <c r="B9" s="13">
        <f>Totals!B5*Inputs!$B$7</f>
        <v/>
      </c>
      <c r="C9" s="13">
        <f>Totals!C5*Inputs!$B$7 - Totals!B5*Inputs!$B$7</f>
        <v/>
      </c>
      <c r="D9" s="13">
        <f>Totals!D5*Inputs!$B$7 - Totals!C5*Inputs!$B$7</f>
        <v/>
      </c>
    </row>
    <row r="10">
      <c r="A10" s="4" t="inlineStr">
        <is>
          <t>Free Cash Flow (FCF)</t>
        </is>
      </c>
      <c r="B10" s="13">
        <f>B7 - B8 - B9</f>
        <v/>
      </c>
      <c r="C10" s="13">
        <f>C7 - C8 - C9</f>
        <v/>
      </c>
      <c r="D10" s="13">
        <f>D7 - D8 - D9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2026-03-25T09:20:49Z</dcterms:created>
  <dcterms:modified xmlns:dcterms="http://purl.org/dc/terms/" xmlns:xsi="http://www.w3.org/2001/XMLSchema-instance" xsi:type="dcterms:W3CDTF">2026-03-25T09:22:16Z</dcterms:modified>
</cp:coreProperties>
</file>